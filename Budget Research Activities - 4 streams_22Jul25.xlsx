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/Desktop/SUAD/SAFIR/Shipping Conference_October 2025/FINAL/FINAL/"/>
    </mc:Choice>
  </mc:AlternateContent>
  <xr:revisionPtr revIDLastSave="0" documentId="13_ncr:1_{D09A8BFF-24E1-C149-965D-74F9E1102162}" xr6:coauthVersionLast="47" xr6:coauthVersionMax="47" xr10:uidLastSave="{00000000-0000-0000-0000-000000000000}"/>
  <bookViews>
    <workbookView xWindow="300" yWindow="500" windowWidth="28500" windowHeight="16040" activeTab="2" xr2:uid="{00000000-000D-0000-FFFF-FFFF00000000}"/>
  </bookViews>
  <sheets>
    <sheet name="stream 1 Conf.&amp;Research Travel " sheetId="1" r:id="rId1"/>
    <sheet name="stream 2 Publicatio&amp;Open access" sheetId="2" r:id="rId2"/>
    <sheet name="Stream 3 Sci. Events SUAD" sheetId="3" r:id="rId3"/>
    <sheet name="Stream 4 Operational purchases" sheetId="4" r:id="rId4"/>
    <sheet name="Research Support" sheetId="6" r:id="rId5"/>
    <sheet name="Sheet1" sheetId="5" state="hidden" r:id="rId6"/>
  </sheets>
  <definedNames>
    <definedName name="PI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4" i="3"/>
  <c r="D41" i="3"/>
  <c r="D34" i="3"/>
  <c r="D32" i="3"/>
  <c r="D33" i="3"/>
  <c r="D31" i="3"/>
  <c r="D15" i="3"/>
  <c r="D12" i="3"/>
  <c r="D37" i="3"/>
  <c r="D39" i="3"/>
  <c r="D9" i="3"/>
  <c r="D27" i="3" l="1"/>
  <c r="D25" i="3" s="1"/>
  <c r="D20" i="1"/>
  <c r="D13" i="1" l="1"/>
  <c r="D12" i="1"/>
  <c r="E9" i="6" l="1"/>
  <c r="E11" i="6"/>
  <c r="E10" i="6"/>
  <c r="E8" i="6"/>
  <c r="D25" i="4"/>
  <c r="D14" i="1"/>
  <c r="D10" i="1"/>
  <c r="B15" i="2"/>
  <c r="B17" i="2" s="1"/>
  <c r="D27" i="4"/>
  <c r="E13" i="6" l="1"/>
  <c r="E15" i="6" s="1"/>
</calcChain>
</file>

<file path=xl/sharedStrings.xml><?xml version="1.0" encoding="utf-8"?>
<sst xmlns="http://schemas.openxmlformats.org/spreadsheetml/2006/main" count="125" uniqueCount="90">
  <si>
    <t>Research Project Budget Template</t>
  </si>
  <si>
    <t>Project Title</t>
  </si>
  <si>
    <t>Dates of project</t>
  </si>
  <si>
    <t>PRINCIPAL INVESTIGATOR</t>
  </si>
  <si>
    <t>To:</t>
  </si>
  <si>
    <t xml:space="preserve"> Fill in only what applies to your request</t>
  </si>
  <si>
    <t>Unit</t>
  </si>
  <si>
    <t>Total</t>
  </si>
  <si>
    <t>TRAVEL EXPENSES</t>
  </si>
  <si>
    <t>e. Conference fees (cover up to 2000 AED)</t>
  </si>
  <si>
    <t>Total Cost of the Project</t>
  </si>
  <si>
    <r>
      <t xml:space="preserve">External Funding </t>
    </r>
    <r>
      <rPr>
        <i/>
        <sz val="9"/>
        <color theme="1"/>
        <rFont val="Palatino"/>
        <family val="1"/>
      </rPr>
      <t>(if applicable)</t>
    </r>
  </si>
  <si>
    <t>TOTAL REQUEST to SAFIR/SUAD</t>
  </si>
  <si>
    <t>Expected dates of the project</t>
  </si>
  <si>
    <t>PROJECT OWNER</t>
  </si>
  <si>
    <t>PUBLICATION AUTHOR(s)</t>
  </si>
  <si>
    <r>
      <t xml:space="preserve">PUBLICATION EXPENSES </t>
    </r>
    <r>
      <rPr>
        <b/>
        <i/>
        <sz val="9"/>
        <color theme="1"/>
        <rFont val="Palatino"/>
        <family val="1"/>
      </rPr>
      <t>(Fill only if applicable)</t>
    </r>
  </si>
  <si>
    <t>Total (in AED only)</t>
  </si>
  <si>
    <t xml:space="preserve">Publication fees </t>
  </si>
  <si>
    <t xml:space="preserve">Open Access fees </t>
  </si>
  <si>
    <t>Translation fees</t>
  </si>
  <si>
    <r>
      <t>External Funding</t>
    </r>
    <r>
      <rPr>
        <b/>
        <i/>
        <sz val="11"/>
        <color theme="1"/>
        <rFont val="Palatino"/>
        <family val="1"/>
      </rPr>
      <t xml:space="preserve"> (if applicable)</t>
    </r>
  </si>
  <si>
    <t>Total request to SAFIR / SUAD</t>
  </si>
  <si>
    <t>PROJECT TITLE</t>
  </si>
  <si>
    <t xml:space="preserve"> Fill in only what applies to your event</t>
  </si>
  <si>
    <t>Number of people</t>
  </si>
  <si>
    <r>
      <t>Cost per person</t>
    </r>
    <r>
      <rPr>
        <b/>
        <sz val="11"/>
        <color rgb="FFFF0000"/>
        <rFont val="Palatino"/>
        <family val="1"/>
      </rPr>
      <t xml:space="preserve"> (pre-filled according to budget guidelines)</t>
    </r>
  </si>
  <si>
    <t>Total (AED)</t>
  </si>
  <si>
    <r>
      <t xml:space="preserve">a. Flight (to/from Europe) - </t>
    </r>
    <r>
      <rPr>
        <sz val="8"/>
        <color theme="1"/>
        <rFont val="Helvetica"/>
        <family val="2"/>
      </rPr>
      <t>6,000AED by default</t>
    </r>
  </si>
  <si>
    <r>
      <t xml:space="preserve">b. Flight (to/from elsewhere) - </t>
    </r>
    <r>
      <rPr>
        <i/>
        <sz val="11"/>
        <color theme="1"/>
        <rFont val="Helvetica"/>
        <family val="2"/>
      </rPr>
      <t>quotation from Travel office requested</t>
    </r>
  </si>
  <si>
    <t>c. transportation from AD airport to hotel/campus</t>
  </si>
  <si>
    <t>c. transportation from Dubai airport to hotel/campus</t>
  </si>
  <si>
    <t>HOSPITALITY EXPENSES</t>
  </si>
  <si>
    <t>d. Accomodation for speakers</t>
  </si>
  <si>
    <t xml:space="preserve">c. coffee break or networking cocktail (at SUAD) </t>
  </si>
  <si>
    <t>d. Buffet Lunch (at SUAD)</t>
  </si>
  <si>
    <t>e. Speakers dinner (max. 1 per event, for speakers and organizers only)</t>
  </si>
  <si>
    <t>OTHER EXPENSES</t>
  </si>
  <si>
    <t>f. Translation</t>
  </si>
  <si>
    <t>g. Security guards (only for events with over 100 guests)</t>
  </si>
  <si>
    <t>g. Cleaners (only for events with over 100 guests)</t>
  </si>
  <si>
    <r>
      <t xml:space="preserve">h. Special expenses. </t>
    </r>
    <r>
      <rPr>
        <i/>
        <sz val="11"/>
        <color theme="1"/>
        <rFont val="Helvetica"/>
        <family val="2"/>
      </rPr>
      <t>Please specify :</t>
    </r>
    <r>
      <rPr>
        <sz val="11"/>
        <color theme="1"/>
        <rFont val="Helvetica"/>
        <family val="2"/>
      </rPr>
      <t xml:space="preserve"> </t>
    </r>
  </si>
  <si>
    <t>TOTAL REQUEST TO SAFIR/SUAD</t>
  </si>
  <si>
    <t>Project Owner / Principal Investigator</t>
  </si>
  <si>
    <t>OPERATING EXPENSES</t>
  </si>
  <si>
    <t>Cost per item</t>
  </si>
  <si>
    <t>Specify below the items/purchases requested. Quotations should be provided as supporting documents</t>
  </si>
  <si>
    <t>a. Materials, Supplies and Shipping</t>
  </si>
  <si>
    <t>One item per line</t>
  </si>
  <si>
    <t>b. Small Equipment (less than 5000 AED)</t>
  </si>
  <si>
    <t>c. Software</t>
  </si>
  <si>
    <t>d. Lab analysis</t>
  </si>
  <si>
    <t>Add details here</t>
  </si>
  <si>
    <t>e. Other purchases</t>
  </si>
  <si>
    <t>RESEARCH SUPPORT EXPENSES (Fill only what is requested for your project)</t>
  </si>
  <si>
    <t>Number of persons</t>
  </si>
  <si>
    <t>Hourly rate</t>
  </si>
  <si>
    <t>Hours requested (for the whole project)</t>
  </si>
  <si>
    <t>Research Support Assistant (undergraduate student)</t>
  </si>
  <si>
    <t>Research Assistant or Research Intern (BA holder)</t>
  </si>
  <si>
    <t>Research Assistant or Research Intern (Master holder)</t>
  </si>
  <si>
    <t>Research/Lab Engineer (Master holder with high level of technical specialization/ PhD student)</t>
  </si>
  <si>
    <t>Total Direct Cost of the Project</t>
  </si>
  <si>
    <r>
      <t>External Funding</t>
    </r>
    <r>
      <rPr>
        <b/>
        <i/>
        <sz val="14"/>
        <color theme="1"/>
        <rFont val="Palatino"/>
        <family val="1"/>
      </rPr>
      <t xml:space="preserve"> (if applicable)</t>
    </r>
  </si>
  <si>
    <t>Total Funds request to SAFIR / SUAD</t>
  </si>
  <si>
    <t>1 to 5</t>
  </si>
  <si>
    <t>1 to 3</t>
  </si>
  <si>
    <r>
      <t xml:space="preserve">Cost </t>
    </r>
    <r>
      <rPr>
        <b/>
        <sz val="11"/>
        <color rgb="FFFF0000"/>
        <rFont val="Palatino"/>
        <family val="1"/>
      </rPr>
      <t>(pre-filled according to SUAD and research budget guidelines)</t>
    </r>
  </si>
  <si>
    <t>b. Travel insurance (only if required)</t>
  </si>
  <si>
    <t>Total External Funding</t>
  </si>
  <si>
    <t>d. Hotel  (up to 3 nights - according to the length of the conference) Researcher 1</t>
  </si>
  <si>
    <t xml:space="preserve">a. Flight (to/from Europe) </t>
  </si>
  <si>
    <t>c. Per diem (up to 5 days - according to the length of the conference)</t>
  </si>
  <si>
    <t>Beatriz Garcia</t>
  </si>
  <si>
    <r>
      <rPr>
        <b/>
        <sz val="11"/>
        <color theme="1"/>
        <rFont val="Calibri"/>
        <family val="2"/>
        <scheme val="minor"/>
      </rPr>
      <t>Ocean Futures: AI, Policy, and Law for a Sustainable Maritime Gulf</t>
    </r>
    <r>
      <rPr>
        <sz val="11"/>
        <color theme="1"/>
        <rFont val="Calibri"/>
        <family val="2"/>
        <scheme val="minor"/>
      </rPr>
      <t xml:space="preserve">
Advancing Decarbonization and Innovation in Shipping and Marine Biodiversity</t>
    </r>
  </si>
  <si>
    <t>External Funding (National University of Singapore - NUS)</t>
  </si>
  <si>
    <t xml:space="preserve">a. Flight (Singapore - Abu Dhabi) </t>
  </si>
  <si>
    <t xml:space="preserve">b. Per diem (up to 5 days - according to the length of the conference) </t>
  </si>
  <si>
    <t>c. Hotel  (up to 3 nights - according to the length of the conference)</t>
  </si>
  <si>
    <t>Transportation (Dubai Airport-Hotel-Dubai Airport) for 5 speakers</t>
  </si>
  <si>
    <t>Costs related to 3 NUS speakers</t>
  </si>
  <si>
    <r>
      <t>External Funding</t>
    </r>
    <r>
      <rPr>
        <b/>
        <i/>
        <sz val="11"/>
        <color theme="1"/>
        <rFont val="Palatino"/>
        <family val="1"/>
      </rPr>
      <t xml:space="preserve"> (if applicable)</t>
    </r>
    <r>
      <rPr>
        <b/>
        <sz val="11"/>
        <color theme="1"/>
        <rFont val="Palatino"/>
        <family val="1"/>
      </rPr>
      <t xml:space="preserve"> From the National University of Singapore &amp; Embassy of Switzerland to the UAE</t>
    </r>
  </si>
  <si>
    <t>External Funding (Embassy of Switzerland to the UAE)</t>
  </si>
  <si>
    <t>Speakers dinner (max. 1 per event, for speakers and organizers only)</t>
  </si>
  <si>
    <t>Grand total External Funding</t>
  </si>
  <si>
    <t>AED 250</t>
  </si>
  <si>
    <t>2 coffee breaks for 50 ppl</t>
  </si>
  <si>
    <t>Per diem for 3 speakers/3 days</t>
  </si>
  <si>
    <t>Hotel for 3 speakers/3 days</t>
  </si>
  <si>
    <t>2 days for 2 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</si>
</sst>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AED&quot;* #,##0.00_);_(&quot;AED&quot;* \(#,##0.00\);_(&quot;AED&quot;* &quot;-&quot;??_);_(@_)"/>
    <numFmt numFmtId="165" formatCode="_([$AED]\ * #,##0.00_);_([$AED]\ * \(#,##0.00\);_([$AED]\ * &quot;-&quot;??_);_(@_)"/>
    <numFmt numFmtId="166" formatCode="[$-10000]dd/mm/yyyy;@"/>
  </numFmts>
  <fonts count="27">
    <font>
      <sz val="11"/>
      <color theme="1"/>
      <name val="Calibri"/>
      <family val="2"/>
      <scheme val="minor"/>
    </font>
    <font>
      <sz val="11"/>
      <color theme="0"/>
      <name val="Calibri (Body)"/>
    </font>
    <font>
      <b/>
      <sz val="11"/>
      <color theme="1"/>
      <name val="Calibri"/>
      <family val="2"/>
      <scheme val="minor"/>
    </font>
    <font>
      <b/>
      <sz val="11"/>
      <color theme="1"/>
      <name val="Palatino"/>
      <family val="1"/>
    </font>
    <font>
      <sz val="11"/>
      <color theme="1"/>
      <name val="Helvetica"/>
      <family val="2"/>
    </font>
    <font>
      <i/>
      <sz val="11"/>
      <color theme="1"/>
      <name val="Helvetica"/>
      <family val="2"/>
    </font>
    <font>
      <b/>
      <i/>
      <sz val="11"/>
      <color theme="1"/>
      <name val="Palatino"/>
      <family val="1"/>
    </font>
    <font>
      <i/>
      <sz val="9"/>
      <color theme="1"/>
      <name val="Helvetica"/>
      <family val="2"/>
    </font>
    <font>
      <sz val="10"/>
      <color theme="1"/>
      <name val="Palatino"/>
      <family val="1"/>
    </font>
    <font>
      <b/>
      <i/>
      <sz val="9"/>
      <color theme="1"/>
      <name val="Palatino"/>
      <family val="1"/>
    </font>
    <font>
      <sz val="8"/>
      <color theme="1"/>
      <name val="Calibri"/>
      <family val="2"/>
      <scheme val="minor"/>
    </font>
    <font>
      <i/>
      <sz val="9"/>
      <color theme="1"/>
      <name val="Palatino"/>
      <family val="1"/>
    </font>
    <font>
      <sz val="11"/>
      <name val="Palatino"/>
      <family val="1"/>
    </font>
    <font>
      <sz val="10"/>
      <color theme="1"/>
      <name val="Helvetica"/>
      <family val="2"/>
    </font>
    <font>
      <i/>
      <sz val="10"/>
      <color rgb="FFFF0000"/>
      <name val="Helvetica"/>
      <family val="2"/>
    </font>
    <font>
      <sz val="11"/>
      <color rgb="FFFF0000"/>
      <name val="Calibri (Body)"/>
    </font>
    <font>
      <sz val="8"/>
      <color theme="1"/>
      <name val="Helvetica"/>
      <family val="2"/>
    </font>
    <font>
      <b/>
      <sz val="11"/>
      <color rgb="FFFF0000"/>
      <name val="Palatino"/>
      <family val="1"/>
    </font>
    <font>
      <sz val="14"/>
      <color theme="0"/>
      <name val="Calibri (Body)"/>
    </font>
    <font>
      <sz val="14"/>
      <color theme="1"/>
      <name val="Calibri"/>
      <family val="2"/>
      <scheme val="minor"/>
    </font>
    <font>
      <b/>
      <sz val="14"/>
      <color theme="1"/>
      <name val="Palatino"/>
      <family val="1"/>
    </font>
    <font>
      <sz val="14"/>
      <color theme="1"/>
      <name val="Helvetica"/>
      <family val="2"/>
    </font>
    <font>
      <b/>
      <u/>
      <sz val="14"/>
      <color theme="1"/>
      <name val="Palatino"/>
      <family val="1"/>
    </font>
    <font>
      <b/>
      <i/>
      <sz val="14"/>
      <color theme="1"/>
      <name val="Palatino"/>
      <family val="1"/>
    </font>
    <font>
      <b/>
      <sz val="14"/>
      <color theme="1"/>
      <name val="Calibri"/>
      <family val="2"/>
      <scheme val="minor"/>
    </font>
    <font>
      <sz val="11"/>
      <color theme="1"/>
      <name val="Palatino"/>
      <family val="1"/>
    </font>
    <font>
      <b/>
      <sz val="11"/>
      <name val="Palatino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867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 applyAlignment="1">
      <alignment wrapText="1"/>
    </xf>
    <xf numFmtId="165" fontId="0" fillId="0" borderId="2" xfId="0" applyNumberFormat="1" applyBorder="1"/>
    <xf numFmtId="0" fontId="0" fillId="3" borderId="3" xfId="0" applyFill="1" applyBorder="1" applyAlignment="1">
      <alignment wrapText="1"/>
    </xf>
    <xf numFmtId="166" fontId="0" fillId="3" borderId="3" xfId="0" applyNumberFormat="1" applyFill="1" applyBorder="1" applyAlignment="1">
      <alignment wrapText="1"/>
    </xf>
    <xf numFmtId="166" fontId="0" fillId="3" borderId="3" xfId="0" applyNumberForma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6" fontId="0" fillId="3" borderId="5" xfId="0" applyNumberFormat="1" applyFill="1" applyBorder="1"/>
    <xf numFmtId="0" fontId="3" fillId="4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165" fontId="10" fillId="0" borderId="2" xfId="0" applyNumberFormat="1" applyFont="1" applyBorder="1"/>
    <xf numFmtId="0" fontId="3" fillId="0" borderId="16" xfId="0" applyFont="1" applyBorder="1" applyAlignment="1">
      <alignment wrapText="1"/>
    </xf>
    <xf numFmtId="165" fontId="0" fillId="0" borderId="17" xfId="0" applyNumberFormat="1" applyBorder="1"/>
    <xf numFmtId="0" fontId="4" fillId="0" borderId="18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4" borderId="22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3" fillId="0" borderId="25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9" xfId="0" applyBorder="1"/>
    <xf numFmtId="0" fontId="0" fillId="4" borderId="19" xfId="0" applyFill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3" fillId="0" borderId="1" xfId="0" applyFont="1" applyBorder="1"/>
    <xf numFmtId="0" fontId="3" fillId="4" borderId="1" xfId="0" applyFont="1" applyFill="1" applyBorder="1"/>
    <xf numFmtId="164" fontId="12" fillId="4" borderId="1" xfId="0" applyNumberFormat="1" applyFont="1" applyFill="1" applyBorder="1"/>
    <xf numFmtId="0" fontId="13" fillId="0" borderId="0" xfId="0" applyFont="1"/>
    <xf numFmtId="0" fontId="13" fillId="0" borderId="1" xfId="0" applyFont="1" applyBorder="1"/>
    <xf numFmtId="2" fontId="13" fillId="0" borderId="1" xfId="0" applyNumberFormat="1" applyFont="1" applyBorder="1"/>
    <xf numFmtId="0" fontId="14" fillId="0" borderId="1" xfId="0" applyFont="1" applyBorder="1" applyAlignment="1">
      <alignment wrapText="1"/>
    </xf>
    <xf numFmtId="0" fontId="15" fillId="0" borderId="24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4" fillId="0" borderId="18" xfId="0" applyFont="1" applyBorder="1" applyAlignment="1">
      <alignment vertical="center" wrapText="1"/>
    </xf>
    <xf numFmtId="164" fontId="0" fillId="0" borderId="1" xfId="0" applyNumberFormat="1" applyBorder="1" applyAlignment="1">
      <alignment wrapText="1"/>
    </xf>
    <xf numFmtId="164" fontId="0" fillId="4" borderId="1" xfId="0" applyNumberFormat="1" applyFill="1" applyBorder="1"/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Alignment="1" applyProtection="1">
      <alignment wrapText="1"/>
      <protection locked="0"/>
    </xf>
    <xf numFmtId="0" fontId="0" fillId="4" borderId="19" xfId="0" applyFill="1" applyBorder="1" applyProtection="1">
      <protection locked="0"/>
    </xf>
    <xf numFmtId="165" fontId="13" fillId="0" borderId="1" xfId="0" applyNumberFormat="1" applyFont="1" applyBorder="1" applyProtection="1">
      <protection locked="0"/>
    </xf>
    <xf numFmtId="0" fontId="13" fillId="0" borderId="1" xfId="0" applyFont="1" applyBorder="1" applyProtection="1">
      <protection locked="0"/>
    </xf>
    <xf numFmtId="164" fontId="12" fillId="4" borderId="1" xfId="0" applyNumberFormat="1" applyFont="1" applyFill="1" applyBorder="1" applyProtection="1">
      <protection locked="0"/>
    </xf>
    <xf numFmtId="165" fontId="0" fillId="0" borderId="19" xfId="0" applyNumberFormat="1" applyBorder="1" applyProtection="1">
      <protection locked="0"/>
    </xf>
    <xf numFmtId="165" fontId="0" fillId="4" borderId="23" xfId="0" applyNumberFormat="1" applyFill="1" applyBorder="1"/>
    <xf numFmtId="165" fontId="0" fillId="0" borderId="19" xfId="0" applyNumberFormat="1" applyBorder="1"/>
    <xf numFmtId="164" fontId="0" fillId="4" borderId="1" xfId="0" applyNumberFormat="1" applyFill="1" applyBorder="1" applyProtection="1">
      <protection locked="0"/>
    </xf>
    <xf numFmtId="3" fontId="13" fillId="0" borderId="1" xfId="0" applyNumberFormat="1" applyFont="1" applyBorder="1"/>
    <xf numFmtId="165" fontId="4" fillId="0" borderId="9" xfId="0" applyNumberFormat="1" applyFont="1" applyBorder="1" applyProtection="1">
      <protection locked="0"/>
    </xf>
    <xf numFmtId="165" fontId="4" fillId="0" borderId="29" xfId="0" applyNumberFormat="1" applyFont="1" applyBorder="1" applyProtection="1">
      <protection locked="0"/>
    </xf>
    <xf numFmtId="165" fontId="4" fillId="0" borderId="10" xfId="0" applyNumberFormat="1" applyFont="1" applyBorder="1" applyProtection="1">
      <protection locked="0"/>
    </xf>
    <xf numFmtId="0" fontId="4" fillId="0" borderId="9" xfId="0" applyFont="1" applyBorder="1" applyProtection="1">
      <protection locked="0"/>
    </xf>
    <xf numFmtId="0" fontId="4" fillId="0" borderId="29" xfId="0" applyFont="1" applyBorder="1" applyProtection="1">
      <protection locked="0"/>
    </xf>
    <xf numFmtId="0" fontId="4" fillId="0" borderId="10" xfId="0" applyFont="1" applyBorder="1" applyProtection="1">
      <protection locked="0"/>
    </xf>
    <xf numFmtId="165" fontId="19" fillId="0" borderId="2" xfId="0" applyNumberFormat="1" applyFont="1" applyBorder="1"/>
    <xf numFmtId="0" fontId="19" fillId="0" borderId="0" xfId="0" applyFont="1"/>
    <xf numFmtId="0" fontId="19" fillId="3" borderId="3" xfId="0" applyFont="1" applyFill="1" applyBorder="1" applyAlignment="1">
      <alignment wrapText="1"/>
    </xf>
    <xf numFmtId="166" fontId="19" fillId="3" borderId="3" xfId="0" applyNumberFormat="1" applyFont="1" applyFill="1" applyBorder="1" applyAlignment="1">
      <alignment wrapText="1"/>
    </xf>
    <xf numFmtId="166" fontId="19" fillId="3" borderId="3" xfId="0" applyNumberFormat="1" applyFont="1" applyFill="1" applyBorder="1"/>
    <xf numFmtId="0" fontId="20" fillId="0" borderId="1" xfId="0" applyFont="1" applyBorder="1" applyAlignment="1">
      <alignment wrapText="1"/>
    </xf>
    <xf numFmtId="165" fontId="20" fillId="0" borderId="1" xfId="0" applyNumberFormat="1" applyFont="1" applyBorder="1" applyAlignment="1">
      <alignment wrapText="1"/>
    </xf>
    <xf numFmtId="0" fontId="21" fillId="0" borderId="1" xfId="0" applyFont="1" applyBorder="1" applyAlignment="1">
      <alignment wrapText="1"/>
    </xf>
    <xf numFmtId="165" fontId="19" fillId="0" borderId="1" xfId="0" applyNumberFormat="1" applyFont="1" applyBorder="1"/>
    <xf numFmtId="0" fontId="19" fillId="0" borderId="1" xfId="0" applyFont="1" applyBorder="1"/>
    <xf numFmtId="0" fontId="24" fillId="0" borderId="2" xfId="0" applyFont="1" applyBorder="1" applyAlignment="1">
      <alignment wrapText="1"/>
    </xf>
    <xf numFmtId="164" fontId="19" fillId="0" borderId="1" xfId="0" applyNumberFormat="1" applyFont="1" applyBorder="1"/>
    <xf numFmtId="164" fontId="19" fillId="4" borderId="1" xfId="0" applyNumberFormat="1" applyFont="1" applyFill="1" applyBorder="1"/>
    <xf numFmtId="0" fontId="4" fillId="0" borderId="6" xfId="0" applyFont="1" applyBorder="1" applyAlignment="1">
      <alignment wrapText="1"/>
    </xf>
    <xf numFmtId="0" fontId="13" fillId="0" borderId="7" xfId="0" applyFont="1" applyBorder="1"/>
    <xf numFmtId="165" fontId="13" fillId="0" borderId="7" xfId="0" applyNumberFormat="1" applyFont="1" applyBorder="1" applyProtection="1">
      <protection locked="0"/>
    </xf>
    <xf numFmtId="2" fontId="13" fillId="0" borderId="8" xfId="0" applyNumberFormat="1" applyFont="1" applyBorder="1"/>
    <xf numFmtId="0" fontId="3" fillId="5" borderId="0" xfId="0" applyFont="1" applyFill="1" applyAlignment="1">
      <alignment wrapText="1"/>
    </xf>
    <xf numFmtId="165" fontId="0" fillId="5" borderId="0" xfId="0" applyNumberFormat="1" applyFill="1"/>
    <xf numFmtId="0" fontId="0" fillId="5" borderId="0" xfId="0" applyFill="1"/>
    <xf numFmtId="164" fontId="26" fillId="4" borderId="1" xfId="0" applyNumberFormat="1" applyFont="1" applyFill="1" applyBorder="1"/>
    <xf numFmtId="2" fontId="25" fillId="5" borderId="0" xfId="0" applyNumberFormat="1" applyFont="1" applyFill="1"/>
    <xf numFmtId="0" fontId="3" fillId="6" borderId="0" xfId="0" applyFont="1" applyFill="1" applyAlignment="1">
      <alignment wrapText="1"/>
    </xf>
    <xf numFmtId="165" fontId="0" fillId="6" borderId="0" xfId="0" applyNumberFormat="1" applyFill="1"/>
    <xf numFmtId="0" fontId="0" fillId="6" borderId="0" xfId="0" applyFill="1"/>
    <xf numFmtId="3" fontId="13" fillId="0" borderId="1" xfId="0" applyNumberFormat="1" applyFont="1" applyBorder="1" applyAlignment="1">
      <alignment horizontal="right"/>
    </xf>
    <xf numFmtId="0" fontId="2" fillId="4" borderId="0" xfId="0" applyFont="1" applyFill="1" applyAlignment="1">
      <alignment wrapText="1"/>
    </xf>
    <xf numFmtId="165" fontId="0" fillId="4" borderId="0" xfId="0" applyNumberFormat="1" applyFill="1"/>
    <xf numFmtId="0" fontId="0" fillId="4" borderId="0" xfId="0" applyFill="1"/>
    <xf numFmtId="2" fontId="2" fillId="4" borderId="0" xfId="0" applyNumberFormat="1" applyFont="1" applyFill="1"/>
    <xf numFmtId="0" fontId="2" fillId="4" borderId="23" xfId="0" applyFont="1" applyFill="1" applyBorder="1"/>
    <xf numFmtId="166" fontId="0" fillId="3" borderId="28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3" fillId="0" borderId="20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5" fontId="0" fillId="0" borderId="28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3" borderId="28" xfId="0" applyNumberFormat="1" applyFill="1" applyBorder="1" applyAlignment="1">
      <alignment horizontal="center" wrapText="1"/>
    </xf>
    <xf numFmtId="166" fontId="0" fillId="3" borderId="0" xfId="0" applyNumberForma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2" fillId="4" borderId="14" xfId="0" applyFont="1" applyFill="1" applyBorder="1" applyAlignment="1">
      <alignment horizontal="center"/>
    </xf>
    <xf numFmtId="0" fontId="22" fillId="4" borderId="31" xfId="0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8674"/>
      <color rgb="FFFF1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1422678</xdr:colOff>
      <xdr:row>0</xdr:row>
      <xdr:rowOff>0</xdr:rowOff>
    </xdr:from>
    <xdr:ext cx="2272632" cy="802105"/>
    <xdr:pic>
      <xdr:nvPicPr>
        <xdr:cNvPr id="3" name="image1.jpg">
          <a:extLst>
            <a:ext uri="{FF2B5EF4-FFF2-40B4-BE49-F238E27FC236}">
              <a16:creationId xmlns:a16="http://schemas.microsoft.com/office/drawing/2014/main" id="{0250EFB1-9152-544A-965B-FB668FF7BC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22678" y="0"/>
          <a:ext cx="2272632" cy="80210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1415738</xdr:colOff>
      <xdr:row>0</xdr:row>
      <xdr:rowOff>27760</xdr:rowOff>
    </xdr:from>
    <xdr:ext cx="2272632" cy="802105"/>
    <xdr:pic>
      <xdr:nvPicPr>
        <xdr:cNvPr id="2" name="image1.jpg">
          <a:extLst>
            <a:ext uri="{FF2B5EF4-FFF2-40B4-BE49-F238E27FC236}">
              <a16:creationId xmlns:a16="http://schemas.microsoft.com/office/drawing/2014/main" id="{3BFA94B0-43C8-DB48-98C4-C5DF0080C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5738" y="27760"/>
          <a:ext cx="2272632" cy="80210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1837267</xdr:colOff>
      <xdr:row>0</xdr:row>
      <xdr:rowOff>0</xdr:rowOff>
    </xdr:from>
    <xdr:ext cx="2641600" cy="1058333"/>
    <xdr:pic>
      <xdr:nvPicPr>
        <xdr:cNvPr id="2" name="image1.jpg">
          <a:extLst>
            <a:ext uri="{FF2B5EF4-FFF2-40B4-BE49-F238E27FC236}">
              <a16:creationId xmlns:a16="http://schemas.microsoft.com/office/drawing/2014/main" id="{57208907-855D-9E46-95C7-7AAF35A477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37267" y="0"/>
          <a:ext cx="2641600" cy="1058333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1419411</xdr:colOff>
      <xdr:row>0</xdr:row>
      <xdr:rowOff>67236</xdr:rowOff>
    </xdr:from>
    <xdr:ext cx="2283224" cy="895246"/>
    <xdr:pic>
      <xdr:nvPicPr>
        <xdr:cNvPr id="2" name="image1.jpg">
          <a:extLst>
            <a:ext uri="{FF2B5EF4-FFF2-40B4-BE49-F238E27FC236}">
              <a16:creationId xmlns:a16="http://schemas.microsoft.com/office/drawing/2014/main" id="{DE180073-6A77-C745-AAB0-9C798D03B6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9411" y="67236"/>
          <a:ext cx="2283224" cy="895246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1408796</xdr:colOff>
      <xdr:row>0</xdr:row>
      <xdr:rowOff>0</xdr:rowOff>
    </xdr:from>
    <xdr:ext cx="3442604" cy="1485900"/>
    <xdr:pic>
      <xdr:nvPicPr>
        <xdr:cNvPr id="4" name="image1.jpg">
          <a:extLst>
            <a:ext uri="{FF2B5EF4-FFF2-40B4-BE49-F238E27FC236}">
              <a16:creationId xmlns:a16="http://schemas.microsoft.com/office/drawing/2014/main" id="{7D9C6097-1D70-8149-9AF6-5D955957F4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08796" y="0"/>
          <a:ext cx="3442604" cy="148590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3627-CDF8-9F4B-BA77-C6AD4BDEA26E}" name="Table1" displayName="Table1" ref="A1:A7" totalsRowShown="0">
  <autoFilter ref="A1:A7" xr:uid="{EDEF3627-CDF8-9F4B-BA77-C6AD4BDEA26E}"/>
  <tableColumns count="1">
    <tableColumn id="1" xr3:uid="{EC3434B0-04C5-CB4F-9680-BC6BD95B930E}" name="1 to 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9AB6E4-55B8-E84C-98B3-5C494A29A32A}" name="Table2" displayName="Table2" ref="B2:B6" totalsRowShown="0">
  <autoFilter ref="B2:B6" xr:uid="{C79AB6E4-55B8-E84C-98B3-5C494A29A32A}"/>
  <tableColumns count="1">
    <tableColumn id="1" xr3:uid="{BC67BCFB-01A8-6749-83B3-02B3837828A2}" name="1 to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D21"/>
  <sheetViews>
    <sheetView zoomScaleNormal="190" workbookViewId="0">
      <selection activeCell="D27" sqref="D27"/>
    </sheetView>
  </sheetViews>
  <sheetFormatPr baseColWidth="10" defaultColWidth="9.1640625" defaultRowHeight="15"/>
  <cols>
    <col min="1" max="1" width="77.5" style="1" customWidth="1"/>
    <col min="2" max="2" width="9.1640625" style="2" customWidth="1"/>
    <col min="3" max="3" width="30.6640625" customWidth="1"/>
    <col min="4" max="4" width="14.6640625" bestFit="1" customWidth="1"/>
    <col min="5" max="5" width="13.83203125" customWidth="1"/>
  </cols>
  <sheetData>
    <row r="1" spans="1:4" ht="72" customHeight="1"/>
    <row r="2" spans="1:4" ht="16" customHeight="1" thickBot="1">
      <c r="A2" s="104" t="s">
        <v>0</v>
      </c>
      <c r="B2" s="104"/>
      <c r="C2" s="104"/>
      <c r="D2" s="104"/>
    </row>
    <row r="3" spans="1:4" ht="16" customHeight="1">
      <c r="A3" s="4" t="s">
        <v>1</v>
      </c>
      <c r="B3" s="105" t="s">
        <v>2</v>
      </c>
      <c r="C3" s="106"/>
      <c r="D3" s="106"/>
    </row>
    <row r="4" spans="1:4" ht="32" customHeight="1" thickBot="1">
      <c r="A4" s="6"/>
      <c r="B4" s="107"/>
      <c r="C4" s="108"/>
      <c r="D4" s="108"/>
    </row>
    <row r="5" spans="1:4" ht="16" customHeight="1">
      <c r="A5" s="4" t="s">
        <v>3</v>
      </c>
      <c r="B5" s="105" t="s">
        <v>4</v>
      </c>
      <c r="C5" s="106"/>
      <c r="D5" s="106"/>
    </row>
    <row r="6" spans="1:4" ht="16" customHeight="1" thickBot="1">
      <c r="A6" s="6"/>
      <c r="B6" s="90"/>
      <c r="C6" s="91"/>
      <c r="D6" s="91"/>
    </row>
    <row r="7" spans="1:4" ht="16" customHeight="1" thickBot="1"/>
    <row r="8" spans="1:4" ht="47" customHeight="1">
      <c r="A8" s="36" t="s">
        <v>5</v>
      </c>
      <c r="B8" s="26" t="s">
        <v>6</v>
      </c>
      <c r="C8" s="22" t="s">
        <v>67</v>
      </c>
      <c r="D8" s="27" t="s">
        <v>7</v>
      </c>
    </row>
    <row r="9" spans="1:4" ht="15" customHeight="1">
      <c r="A9" s="98" t="s">
        <v>8</v>
      </c>
      <c r="B9" s="99"/>
      <c r="C9" s="99"/>
      <c r="D9" s="100"/>
    </row>
    <row r="10" spans="1:4" ht="16" customHeight="1">
      <c r="A10" s="11" t="s">
        <v>71</v>
      </c>
      <c r="B10" s="32">
        <v>0</v>
      </c>
      <c r="C10" s="52">
        <v>6000</v>
      </c>
      <c r="D10" s="34">
        <f>B10*C10</f>
        <v>0</v>
      </c>
    </row>
    <row r="11" spans="1:4" ht="16" customHeight="1">
      <c r="A11" s="28" t="s">
        <v>68</v>
      </c>
      <c r="B11" s="33">
        <v>0</v>
      </c>
      <c r="C11" s="46"/>
      <c r="D11" s="34">
        <v>0</v>
      </c>
    </row>
    <row r="12" spans="1:4" ht="16" customHeight="1">
      <c r="A12" s="11" t="s">
        <v>72</v>
      </c>
      <c r="B12" s="33">
        <v>0</v>
      </c>
      <c r="C12" s="33">
        <v>500</v>
      </c>
      <c r="D12" s="34">
        <f t="shared" ref="D12" si="0">B12*C12</f>
        <v>0</v>
      </c>
    </row>
    <row r="13" spans="1:4" ht="16" customHeight="1">
      <c r="A13" s="11" t="s">
        <v>70</v>
      </c>
      <c r="B13" s="33">
        <v>0</v>
      </c>
      <c r="C13" s="52">
        <v>500</v>
      </c>
      <c r="D13" s="34">
        <f t="shared" ref="D13" si="1">B13*C13</f>
        <v>0</v>
      </c>
    </row>
    <row r="14" spans="1:4" ht="16">
      <c r="A14" s="11" t="s">
        <v>9</v>
      </c>
      <c r="B14" s="33">
        <v>0</v>
      </c>
      <c r="C14" s="45"/>
      <c r="D14" s="34">
        <f t="shared" ref="D14" si="2">B14*C14</f>
        <v>0</v>
      </c>
    </row>
    <row r="15" spans="1:4">
      <c r="A15" s="72"/>
      <c r="B15" s="73"/>
      <c r="C15" s="74"/>
      <c r="D15" s="75"/>
    </row>
    <row r="16" spans="1:4">
      <c r="A16" s="72"/>
      <c r="B16" s="73"/>
      <c r="C16" s="74"/>
      <c r="D16" s="75"/>
    </row>
    <row r="17" spans="1:4">
      <c r="A17" s="101"/>
      <c r="B17" s="102"/>
      <c r="C17" s="102"/>
      <c r="D17" s="103"/>
    </row>
    <row r="18" spans="1:4" ht="16">
      <c r="A18" s="10" t="s">
        <v>10</v>
      </c>
      <c r="B18" s="92"/>
      <c r="C18" s="93"/>
      <c r="D18" s="31"/>
    </row>
    <row r="19" spans="1:4">
      <c r="A19" s="29" t="s">
        <v>11</v>
      </c>
      <c r="B19" s="94"/>
      <c r="C19" s="95"/>
      <c r="D19" s="47"/>
    </row>
    <row r="20" spans="1:4">
      <c r="A20" s="30" t="s">
        <v>12</v>
      </c>
      <c r="B20" s="96"/>
      <c r="C20" s="97"/>
      <c r="D20" s="79">
        <f>SUM(D10:D15)</f>
        <v>0</v>
      </c>
    </row>
    <row r="21" spans="1:4">
      <c r="C21" s="2"/>
    </row>
  </sheetData>
  <sheetProtection insertRows="0"/>
  <mergeCells count="8">
    <mergeCell ref="B6:D6"/>
    <mergeCell ref="B18:C20"/>
    <mergeCell ref="A9:D9"/>
    <mergeCell ref="A17:D17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Maximum of 5 days will be covered by SAFIR" xr:uid="{6631D04A-69C1-1941-B2D5-CDA5A6FE1F26}">
          <x14:formula1>
            <xm:f>Sheet1!$A$2:$A$7</xm:f>
          </x14:formula1>
          <xm:sqref>B12</xm:sqref>
        </x14:dataValidation>
        <x14:dataValidation type="list" allowBlank="1" showInputMessage="1" showErrorMessage="1" error="Max. of 3 nights will be covered by SAFIR" xr:uid="{EBFF2E1A-5261-5A4D-8977-61E098C6F4E2}">
          <x14:formula1>
            <xm:f>Sheet1!$B$3:$B$6</xm:f>
          </x14:formula1>
          <xm:sqref>B13</xm:sqref>
        </x14:dataValidation>
        <x14:dataValidation type="list" allowBlank="1" showInputMessage="1" showErrorMessage="1" xr:uid="{8658CAF4-4A21-024D-B992-A6609DE04900}">
          <x14:formula1>
            <xm:f>Sheet1!$A$2:$A$3</xm:f>
          </x14:formula1>
          <xm:sqref>B10:B11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655F-DB6B-6D40-B30A-6F978A74FD3D}">
  <sheetPr>
    <tabColor theme="8"/>
  </sheetPr>
  <dimension ref="A1:C19"/>
  <sheetViews>
    <sheetView zoomScale="183" zoomScaleNormal="190" workbookViewId="0">
      <selection sqref="A1:B17"/>
    </sheetView>
  </sheetViews>
  <sheetFormatPr baseColWidth="10" defaultColWidth="9.1640625" defaultRowHeight="15"/>
  <cols>
    <col min="1" max="1" width="67.6640625" style="1" customWidth="1"/>
    <col min="2" max="2" width="17.1640625" style="2" customWidth="1"/>
    <col min="3" max="3" width="13" customWidth="1"/>
  </cols>
  <sheetData>
    <row r="1" spans="1:3" ht="72" customHeight="1"/>
    <row r="2" spans="1:3" ht="16" customHeight="1" thickBot="1">
      <c r="A2" s="104" t="s">
        <v>0</v>
      </c>
      <c r="B2" s="109"/>
    </row>
    <row r="3" spans="1:3" ht="16" customHeight="1">
      <c r="A3" s="4" t="s">
        <v>1</v>
      </c>
      <c r="B3" s="15" t="s">
        <v>13</v>
      </c>
    </row>
    <row r="4" spans="1:3" ht="32" customHeight="1" thickBot="1">
      <c r="A4" s="6"/>
      <c r="B4" s="7"/>
    </row>
    <row r="5" spans="1:3" ht="16" customHeight="1">
      <c r="A5" s="4" t="s">
        <v>14</v>
      </c>
      <c r="B5" s="15" t="s">
        <v>4</v>
      </c>
    </row>
    <row r="6" spans="1:3" ht="16" customHeight="1" thickBot="1">
      <c r="A6" s="6"/>
      <c r="B6" s="8"/>
    </row>
    <row r="7" spans="1:3" ht="16" customHeight="1">
      <c r="A7" s="4" t="s">
        <v>15</v>
      </c>
    </row>
    <row r="8" spans="1:3" ht="16" thickBot="1">
      <c r="A8" s="6"/>
    </row>
    <row r="9" spans="1:3" ht="16" thickBot="1"/>
    <row r="10" spans="1:3" ht="15" customHeight="1">
      <c r="A10" s="16" t="s">
        <v>16</v>
      </c>
      <c r="B10" s="17" t="s">
        <v>17</v>
      </c>
      <c r="C10" s="1"/>
    </row>
    <row r="11" spans="1:3" ht="16" customHeight="1">
      <c r="A11" s="18" t="s">
        <v>18</v>
      </c>
      <c r="B11" s="48">
        <v>0</v>
      </c>
      <c r="C11" s="2"/>
    </row>
    <row r="12" spans="1:3" ht="16" customHeight="1">
      <c r="A12" s="18" t="s">
        <v>19</v>
      </c>
      <c r="B12" s="48">
        <v>0</v>
      </c>
      <c r="C12" s="2"/>
    </row>
    <row r="13" spans="1:3" ht="16" customHeight="1">
      <c r="A13" s="18" t="s">
        <v>20</v>
      </c>
      <c r="B13" s="48">
        <v>0</v>
      </c>
      <c r="C13" s="2"/>
    </row>
    <row r="14" spans="1:3">
      <c r="A14" s="110"/>
      <c r="B14" s="111"/>
      <c r="C14" s="2"/>
    </row>
    <row r="15" spans="1:3" ht="16">
      <c r="A15" s="19" t="s">
        <v>10</v>
      </c>
      <c r="B15" s="50">
        <f>SUM(A11:B14)</f>
        <v>0</v>
      </c>
      <c r="C15" s="2"/>
    </row>
    <row r="16" spans="1:3" ht="16">
      <c r="A16" s="19" t="s">
        <v>21</v>
      </c>
      <c r="B16" s="48">
        <v>0</v>
      </c>
      <c r="C16" s="2"/>
    </row>
    <row r="17" spans="1:3" ht="17" thickBot="1">
      <c r="A17" s="20" t="s">
        <v>22</v>
      </c>
      <c r="B17" s="49">
        <f>B15-B16</f>
        <v>0</v>
      </c>
      <c r="C17" s="2"/>
    </row>
    <row r="18" spans="1:3">
      <c r="C18" s="2"/>
    </row>
    <row r="19" spans="1:3">
      <c r="C19" s="2"/>
    </row>
  </sheetData>
  <sheetProtection insertColumns="0" insertRows="0"/>
  <mergeCells count="2">
    <mergeCell ref="A2:B2"/>
    <mergeCell ref="A14:B1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797B-AFA4-1147-83A1-43CA91B37AF9}">
  <sheetPr>
    <tabColor theme="9"/>
  </sheetPr>
  <dimension ref="A1:E41"/>
  <sheetViews>
    <sheetView tabSelected="1" topLeftCell="A7" zoomScaleNormal="150" workbookViewId="0">
      <selection activeCell="D16" sqref="D16"/>
    </sheetView>
  </sheetViews>
  <sheetFormatPr baseColWidth="10" defaultColWidth="9.1640625" defaultRowHeight="15"/>
  <cols>
    <col min="1" max="1" width="67.6640625" style="1" customWidth="1"/>
    <col min="2" max="2" width="17.1640625" style="2" customWidth="1"/>
    <col min="3" max="3" width="23.33203125" customWidth="1"/>
  </cols>
  <sheetData>
    <row r="1" spans="1:5" ht="85" customHeight="1"/>
    <row r="2" spans="1:5" ht="16" customHeight="1" thickBot="1">
      <c r="A2" s="104" t="s">
        <v>0</v>
      </c>
      <c r="B2" s="109"/>
    </row>
    <row r="3" spans="1:5" ht="16" customHeight="1">
      <c r="A3" s="4" t="s">
        <v>23</v>
      </c>
      <c r="B3" s="5" t="s">
        <v>2</v>
      </c>
    </row>
    <row r="4" spans="1:5" ht="32" customHeight="1" thickBot="1">
      <c r="A4" s="6" t="s">
        <v>74</v>
      </c>
      <c r="B4" s="7">
        <v>45944</v>
      </c>
    </row>
    <row r="5" spans="1:5" ht="16" customHeight="1">
      <c r="A5" s="4" t="s">
        <v>14</v>
      </c>
      <c r="B5" s="5" t="s">
        <v>4</v>
      </c>
    </row>
    <row r="6" spans="1:5" ht="26" customHeight="1" thickBot="1">
      <c r="A6" s="21" t="s">
        <v>73</v>
      </c>
      <c r="B6" s="12"/>
    </row>
    <row r="7" spans="1:5" ht="58" customHeight="1">
      <c r="A7" s="36" t="s">
        <v>24</v>
      </c>
      <c r="B7" s="22" t="s">
        <v>25</v>
      </c>
      <c r="C7" s="22" t="s">
        <v>26</v>
      </c>
      <c r="D7" s="23" t="s">
        <v>27</v>
      </c>
    </row>
    <row r="8" spans="1:5" ht="16" customHeight="1">
      <c r="A8" s="98" t="s">
        <v>8</v>
      </c>
      <c r="B8" s="99"/>
      <c r="C8" s="99"/>
      <c r="D8" s="100"/>
    </row>
    <row r="9" spans="1:5" ht="16" customHeight="1">
      <c r="A9" s="18" t="s">
        <v>28</v>
      </c>
      <c r="B9" s="42">
        <v>1</v>
      </c>
      <c r="C9" s="3">
        <v>8000</v>
      </c>
      <c r="D9" s="24">
        <f>1*8000</f>
        <v>8000</v>
      </c>
    </row>
    <row r="10" spans="1:5" ht="16" customHeight="1">
      <c r="A10" s="18" t="s">
        <v>29</v>
      </c>
      <c r="B10" s="42"/>
      <c r="C10" s="41"/>
      <c r="D10" s="24"/>
    </row>
    <row r="11" spans="1:5" ht="16" customHeight="1">
      <c r="A11" s="18" t="s">
        <v>30</v>
      </c>
      <c r="B11" s="42"/>
      <c r="C11" s="3">
        <v>200</v>
      </c>
      <c r="D11" s="24"/>
    </row>
    <row r="12" spans="1:5" ht="16" customHeight="1">
      <c r="A12" s="18" t="s">
        <v>31</v>
      </c>
      <c r="B12" s="43">
        <v>5</v>
      </c>
      <c r="C12" s="39">
        <v>550</v>
      </c>
      <c r="D12" s="37">
        <f>5*550</f>
        <v>2750</v>
      </c>
      <c r="E12" t="s">
        <v>79</v>
      </c>
    </row>
    <row r="13" spans="1:5" ht="16" customHeight="1">
      <c r="A13" s="98" t="s">
        <v>32</v>
      </c>
      <c r="B13" s="99"/>
      <c r="C13" s="99"/>
      <c r="D13" s="100"/>
    </row>
    <row r="14" spans="1:5" ht="16">
      <c r="A14" s="18" t="s">
        <v>33</v>
      </c>
      <c r="B14" s="42">
        <v>1</v>
      </c>
      <c r="C14" s="3">
        <v>525</v>
      </c>
      <c r="D14" s="24">
        <f>2*2*525</f>
        <v>2100</v>
      </c>
      <c r="E14" t="s">
        <v>89</v>
      </c>
    </row>
    <row r="15" spans="1:5" ht="16">
      <c r="A15" s="18" t="s">
        <v>34</v>
      </c>
      <c r="B15" s="42">
        <v>50</v>
      </c>
      <c r="C15" s="3">
        <v>40</v>
      </c>
      <c r="D15" s="24">
        <f>50*40*2</f>
        <v>4000</v>
      </c>
      <c r="E15" t="s">
        <v>86</v>
      </c>
    </row>
    <row r="16" spans="1:5" ht="16">
      <c r="A16" s="18" t="s">
        <v>35</v>
      </c>
      <c r="B16" s="42">
        <v>50</v>
      </c>
      <c r="C16" s="3">
        <v>85</v>
      </c>
      <c r="D16" s="24">
        <f>50*J2385</f>
        <v>0</v>
      </c>
    </row>
    <row r="17" spans="1:5" ht="16">
      <c r="A17" s="18" t="s">
        <v>36</v>
      </c>
      <c r="B17" s="42"/>
      <c r="C17" s="41">
        <v>250</v>
      </c>
      <c r="D17" s="24"/>
    </row>
    <row r="18" spans="1:5">
      <c r="A18" s="110"/>
      <c r="B18" s="102"/>
      <c r="C18" s="102"/>
      <c r="D18" s="111"/>
    </row>
    <row r="19" spans="1:5" ht="16" customHeight="1">
      <c r="A19" s="98" t="s">
        <v>37</v>
      </c>
      <c r="B19" s="99"/>
      <c r="C19" s="99"/>
      <c r="D19" s="100"/>
    </row>
    <row r="20" spans="1:5" ht="16">
      <c r="A20" s="18" t="s">
        <v>38</v>
      </c>
      <c r="B20" s="42"/>
      <c r="C20" s="41"/>
      <c r="D20" s="24"/>
    </row>
    <row r="21" spans="1:5" ht="16">
      <c r="A21" s="18" t="s">
        <v>39</v>
      </c>
      <c r="B21" s="42"/>
      <c r="C21" s="3">
        <v>400</v>
      </c>
      <c r="D21" s="24"/>
    </row>
    <row r="22" spans="1:5" ht="16">
      <c r="A22" s="18" t="s">
        <v>40</v>
      </c>
      <c r="B22" s="42">
        <v>0</v>
      </c>
      <c r="C22" s="3">
        <v>248</v>
      </c>
      <c r="D22" s="24"/>
    </row>
    <row r="23" spans="1:5" ht="34" customHeight="1">
      <c r="A23" s="38" t="s">
        <v>41</v>
      </c>
      <c r="B23" s="42"/>
      <c r="C23" s="41"/>
      <c r="D23" s="24"/>
    </row>
    <row r="24" spans="1:5">
      <c r="A24" s="110"/>
      <c r="B24" s="102"/>
      <c r="C24" s="102"/>
      <c r="D24" s="111"/>
    </row>
    <row r="25" spans="1:5" ht="16">
      <c r="A25" s="19" t="s">
        <v>10</v>
      </c>
      <c r="B25" s="112"/>
      <c r="C25" s="113"/>
      <c r="D25" s="25">
        <f>SUM(D26+D27)</f>
        <v>52075</v>
      </c>
    </row>
    <row r="26" spans="1:5" ht="32">
      <c r="A26" s="19" t="s">
        <v>81</v>
      </c>
      <c r="B26" s="114"/>
      <c r="C26" s="115"/>
      <c r="D26" s="44">
        <v>35225</v>
      </c>
    </row>
    <row r="27" spans="1:5" ht="17" thickBot="1">
      <c r="A27" s="20" t="s">
        <v>42</v>
      </c>
      <c r="B27" s="116"/>
      <c r="C27" s="117"/>
      <c r="D27" s="89">
        <f>SUM(D9:D12:D14:D17)</f>
        <v>16850</v>
      </c>
    </row>
    <row r="28" spans="1:5">
      <c r="C28" s="2"/>
    </row>
    <row r="30" spans="1:5" ht="16">
      <c r="A30" s="81" t="s">
        <v>75</v>
      </c>
      <c r="B30" s="82"/>
      <c r="C30" s="82"/>
      <c r="D30" s="83"/>
      <c r="E30" t="s">
        <v>80</v>
      </c>
    </row>
    <row r="31" spans="1:5" ht="16">
      <c r="A31" s="11" t="s">
        <v>76</v>
      </c>
      <c r="B31" s="32">
        <v>3</v>
      </c>
      <c r="C31" s="52">
        <v>4500</v>
      </c>
      <c r="D31" s="34">
        <f>3*4500</f>
        <v>13500</v>
      </c>
    </row>
    <row r="32" spans="1:5" ht="16">
      <c r="A32" s="11" t="s">
        <v>77</v>
      </c>
      <c r="B32" s="33">
        <v>3</v>
      </c>
      <c r="C32" s="33">
        <v>500</v>
      </c>
      <c r="D32" s="34">
        <f>3*3*500</f>
        <v>4500</v>
      </c>
      <c r="E32" t="s">
        <v>87</v>
      </c>
    </row>
    <row r="33" spans="1:5" ht="16">
      <c r="A33" s="11" t="s">
        <v>78</v>
      </c>
      <c r="B33" s="33">
        <v>3</v>
      </c>
      <c r="C33" s="52">
        <v>525</v>
      </c>
      <c r="D33" s="34">
        <f>3*3*525</f>
        <v>4725</v>
      </c>
      <c r="E33" t="s">
        <v>88</v>
      </c>
    </row>
    <row r="34" spans="1:5" ht="16">
      <c r="A34" s="76" t="s">
        <v>69</v>
      </c>
      <c r="B34" s="77"/>
      <c r="C34" s="78"/>
      <c r="D34" s="80">
        <f>SUM(D31:D33)</f>
        <v>22725</v>
      </c>
    </row>
    <row r="36" spans="1:5" ht="16">
      <c r="A36" s="81" t="s">
        <v>82</v>
      </c>
      <c r="B36" s="82"/>
      <c r="C36" s="82"/>
      <c r="D36" s="83"/>
    </row>
    <row r="37" spans="1:5" ht="16">
      <c r="A37" s="11" t="s">
        <v>83</v>
      </c>
      <c r="B37" s="32">
        <v>50</v>
      </c>
      <c r="C37" s="84" t="s">
        <v>85</v>
      </c>
      <c r="D37" s="34">
        <f>50*250</f>
        <v>12500</v>
      </c>
    </row>
    <row r="38" spans="1:5">
      <c r="A38" s="11"/>
      <c r="B38" s="33"/>
      <c r="C38" s="33"/>
      <c r="D38" s="34"/>
    </row>
    <row r="39" spans="1:5" ht="16">
      <c r="A39" s="76" t="s">
        <v>69</v>
      </c>
      <c r="B39" s="77"/>
      <c r="C39" s="78"/>
      <c r="D39" s="80">
        <f>SUM(D37:D38)</f>
        <v>12500</v>
      </c>
    </row>
    <row r="41" spans="1:5" ht="16">
      <c r="A41" s="85" t="s">
        <v>84</v>
      </c>
      <c r="B41" s="86"/>
      <c r="C41" s="87"/>
      <c r="D41" s="88">
        <f>SUM(D34+D37)</f>
        <v>35225</v>
      </c>
    </row>
  </sheetData>
  <sheetProtection insertColumns="0" insertRows="0"/>
  <mergeCells count="7">
    <mergeCell ref="A2:B2"/>
    <mergeCell ref="A8:D8"/>
    <mergeCell ref="A13:D13"/>
    <mergeCell ref="A19:D19"/>
    <mergeCell ref="B25:C27"/>
    <mergeCell ref="A24:D24"/>
    <mergeCell ref="A18:D18"/>
  </mergeCells>
  <dataValidations count="3">
    <dataValidation type="whole" allowBlank="1" showInputMessage="1" showErrorMessage="1" sqref="B9:B11" xr:uid="{B819476F-E71C-474A-AD44-DB3ECD9227D5}">
      <formula1>0</formula1>
      <formula2>10</formula2>
    </dataValidation>
    <dataValidation type="whole" allowBlank="1" showInputMessage="1" showErrorMessage="1" sqref="B14:B17" xr:uid="{78430427-A088-534C-830A-2ABFCC0A0738}">
      <formula1>0</formula1>
      <formula2>300</formula2>
    </dataValidation>
    <dataValidation type="whole" allowBlank="1" showInputMessage="1" showErrorMessage="1" error="Maximum of 250AED per guest will be covered by SAFIR" sqref="C17" xr:uid="{166006B4-3B36-6140-B896-331F189419EC}">
      <formula1>0</formula1>
      <formula2>250</formula2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EA6A-5AEB-6643-81BA-5E07369F3C8C}">
  <sheetPr>
    <tabColor theme="7"/>
  </sheetPr>
  <dimension ref="A1:D27"/>
  <sheetViews>
    <sheetView topLeftCell="A5" zoomScale="150" zoomScaleNormal="170" workbookViewId="0">
      <selection activeCell="G13" sqref="G13"/>
    </sheetView>
  </sheetViews>
  <sheetFormatPr baseColWidth="10" defaultColWidth="9.1640625" defaultRowHeight="15"/>
  <cols>
    <col min="1" max="1" width="67.6640625" style="1" customWidth="1"/>
    <col min="2" max="2" width="13.83203125" style="2" customWidth="1"/>
    <col min="3" max="3" width="13" customWidth="1"/>
  </cols>
  <sheetData>
    <row r="1" spans="1:4" ht="78" customHeight="1"/>
    <row r="2" spans="1:4" ht="16" customHeight="1" thickBot="1">
      <c r="A2" s="104" t="s">
        <v>0</v>
      </c>
      <c r="B2" s="109"/>
    </row>
    <row r="3" spans="1:4" ht="16" customHeight="1">
      <c r="A3" s="4" t="s">
        <v>1</v>
      </c>
      <c r="B3" s="5" t="s">
        <v>2</v>
      </c>
    </row>
    <row r="4" spans="1:4" ht="32" customHeight="1" thickBot="1">
      <c r="A4" s="6"/>
      <c r="B4" s="7"/>
    </row>
    <row r="5" spans="1:4" ht="16" customHeight="1">
      <c r="A5" s="4" t="s">
        <v>43</v>
      </c>
      <c r="B5" s="5" t="s">
        <v>4</v>
      </c>
    </row>
    <row r="6" spans="1:4" ht="16" customHeight="1" thickBot="1">
      <c r="A6" s="6"/>
      <c r="B6" s="12"/>
    </row>
    <row r="7" spans="1:4" ht="16">
      <c r="A7" s="10" t="s">
        <v>44</v>
      </c>
      <c r="B7" s="9" t="s">
        <v>6</v>
      </c>
      <c r="C7" s="9" t="s">
        <v>45</v>
      </c>
      <c r="D7" s="9" t="s">
        <v>7</v>
      </c>
    </row>
    <row r="8" spans="1:4" ht="16" customHeight="1">
      <c r="A8" s="118" t="s">
        <v>46</v>
      </c>
      <c r="B8" s="119"/>
      <c r="C8" s="119"/>
      <c r="D8" s="120"/>
    </row>
    <row r="9" spans="1:4" ht="16" customHeight="1">
      <c r="A9" s="11" t="s">
        <v>47</v>
      </c>
      <c r="B9" s="53"/>
      <c r="C9" s="53"/>
      <c r="D9" s="56"/>
    </row>
    <row r="10" spans="1:4" ht="16" customHeight="1">
      <c r="A10" s="35" t="s">
        <v>48</v>
      </c>
      <c r="B10" s="54"/>
      <c r="C10" s="54"/>
      <c r="D10" s="57"/>
    </row>
    <row r="11" spans="1:4" ht="16" customHeight="1">
      <c r="A11" s="35" t="s">
        <v>48</v>
      </c>
      <c r="B11" s="54"/>
      <c r="C11" s="54"/>
      <c r="D11" s="57"/>
    </row>
    <row r="12" spans="1:4" ht="21" customHeight="1">
      <c r="A12" s="35" t="s">
        <v>48</v>
      </c>
      <c r="B12" s="55"/>
      <c r="C12" s="55"/>
      <c r="D12" s="58"/>
    </row>
    <row r="13" spans="1:4" ht="16">
      <c r="A13" s="11" t="s">
        <v>49</v>
      </c>
      <c r="B13" s="53"/>
      <c r="C13" s="53"/>
      <c r="D13" s="56"/>
    </row>
    <row r="14" spans="1:4">
      <c r="A14" s="35" t="s">
        <v>48</v>
      </c>
      <c r="B14" s="54"/>
      <c r="C14" s="54"/>
      <c r="D14" s="57"/>
    </row>
    <row r="15" spans="1:4" ht="19" customHeight="1">
      <c r="A15" s="35" t="s">
        <v>48</v>
      </c>
      <c r="B15" s="55"/>
      <c r="C15" s="55"/>
      <c r="D15" s="58"/>
    </row>
    <row r="16" spans="1:4" ht="16">
      <c r="A16" s="11" t="s">
        <v>50</v>
      </c>
      <c r="B16" s="53"/>
      <c r="C16" s="53"/>
      <c r="D16" s="56"/>
    </row>
    <row r="17" spans="1:4">
      <c r="A17" s="35" t="s">
        <v>48</v>
      </c>
      <c r="B17" s="54"/>
      <c r="C17" s="54"/>
      <c r="D17" s="57"/>
    </row>
    <row r="18" spans="1:4" ht="21" customHeight="1">
      <c r="A18" s="35" t="s">
        <v>48</v>
      </c>
      <c r="B18" s="55"/>
      <c r="C18" s="55"/>
      <c r="D18" s="58"/>
    </row>
    <row r="19" spans="1:4" ht="16">
      <c r="A19" s="11" t="s">
        <v>51</v>
      </c>
      <c r="B19" s="53"/>
      <c r="C19" s="53"/>
      <c r="D19" s="56"/>
    </row>
    <row r="20" spans="1:4">
      <c r="A20" s="14" t="s">
        <v>52</v>
      </c>
      <c r="B20" s="54"/>
      <c r="C20" s="54"/>
      <c r="D20" s="57"/>
    </row>
    <row r="21" spans="1:4" ht="22" customHeight="1">
      <c r="A21" s="35" t="s">
        <v>48</v>
      </c>
      <c r="B21" s="55"/>
      <c r="C21" s="55"/>
      <c r="D21" s="58"/>
    </row>
    <row r="22" spans="1:4" ht="16">
      <c r="A22" s="11" t="s">
        <v>53</v>
      </c>
      <c r="B22" s="53"/>
      <c r="C22" s="56"/>
      <c r="D22" s="56"/>
    </row>
    <row r="23" spans="1:4" ht="19" customHeight="1">
      <c r="A23" s="35" t="s">
        <v>48</v>
      </c>
      <c r="B23" s="55"/>
      <c r="C23" s="58"/>
      <c r="D23" s="58"/>
    </row>
    <row r="24" spans="1:4">
      <c r="A24" s="101"/>
      <c r="B24" s="102"/>
      <c r="C24" s="102"/>
      <c r="D24" s="103"/>
    </row>
    <row r="25" spans="1:4" ht="16">
      <c r="A25" s="10" t="s">
        <v>10</v>
      </c>
      <c r="B25" s="92"/>
      <c r="C25" s="93"/>
      <c r="D25" s="40">
        <f>SUM(D9:D23)</f>
        <v>0</v>
      </c>
    </row>
    <row r="26" spans="1:4" ht="16">
      <c r="A26" s="10" t="s">
        <v>21</v>
      </c>
      <c r="B26" s="94"/>
      <c r="C26" s="95"/>
      <c r="D26" s="51">
        <v>0</v>
      </c>
    </row>
    <row r="27" spans="1:4" ht="16">
      <c r="A27" s="13" t="s">
        <v>22</v>
      </c>
      <c r="B27" s="96"/>
      <c r="C27" s="97"/>
      <c r="D27" s="40">
        <f>D25-D26</f>
        <v>0</v>
      </c>
    </row>
  </sheetData>
  <sheetProtection insertColumns="0" insertRows="0"/>
  <mergeCells count="4">
    <mergeCell ref="A24:D24"/>
    <mergeCell ref="B25:C27"/>
    <mergeCell ref="A2:B2"/>
    <mergeCell ref="A8:D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31E8-B702-9841-80F2-F3EB4AE5D612}">
  <sheetPr>
    <tabColor rgb="FFFF0000"/>
  </sheetPr>
  <dimension ref="A1:E15"/>
  <sheetViews>
    <sheetView topLeftCell="A3" workbookViewId="0">
      <selection activeCell="I11" sqref="I11"/>
    </sheetView>
  </sheetViews>
  <sheetFormatPr baseColWidth="10" defaultColWidth="11.5" defaultRowHeight="15"/>
  <cols>
    <col min="1" max="1" width="45.1640625" customWidth="1"/>
    <col min="2" max="2" width="33.5" customWidth="1"/>
    <col min="3" max="3" width="17.1640625" customWidth="1"/>
    <col min="4" max="4" width="21.1640625" customWidth="1"/>
    <col min="5" max="5" width="17.5" customWidth="1"/>
  </cols>
  <sheetData>
    <row r="1" spans="1:5" ht="128" customHeight="1">
      <c r="A1" s="1"/>
      <c r="B1" s="2"/>
    </row>
    <row r="2" spans="1:5" ht="20" thickBot="1">
      <c r="A2" s="121" t="s">
        <v>0</v>
      </c>
      <c r="B2" s="122"/>
    </row>
    <row r="3" spans="1:5" ht="20">
      <c r="A3" s="69" t="s">
        <v>1</v>
      </c>
      <c r="B3" s="59" t="s">
        <v>2</v>
      </c>
      <c r="C3" s="60"/>
      <c r="D3" s="60"/>
      <c r="E3" s="60"/>
    </row>
    <row r="4" spans="1:5" ht="45" customHeight="1" thickBot="1">
      <c r="A4" s="61"/>
      <c r="B4" s="62"/>
      <c r="C4" s="60"/>
      <c r="D4" s="60"/>
      <c r="E4" s="60"/>
    </row>
    <row r="5" spans="1:5" ht="20">
      <c r="A5" s="69" t="s">
        <v>43</v>
      </c>
      <c r="B5" s="59" t="s">
        <v>4</v>
      </c>
      <c r="C5" s="60"/>
      <c r="D5" s="60"/>
      <c r="E5" s="60"/>
    </row>
    <row r="6" spans="1:5" ht="20" thickBot="1">
      <c r="A6" s="61"/>
      <c r="B6" s="63"/>
      <c r="C6" s="60"/>
      <c r="D6" s="60"/>
      <c r="E6" s="60"/>
    </row>
    <row r="7" spans="1:5" ht="74" customHeight="1">
      <c r="A7" s="64" t="s">
        <v>54</v>
      </c>
      <c r="B7" s="65" t="s">
        <v>55</v>
      </c>
      <c r="C7" s="65" t="s">
        <v>56</v>
      </c>
      <c r="D7" s="64" t="s">
        <v>57</v>
      </c>
      <c r="E7" s="64" t="s">
        <v>7</v>
      </c>
    </row>
    <row r="8" spans="1:5" ht="73" customHeight="1">
      <c r="A8" s="66" t="s">
        <v>58</v>
      </c>
      <c r="B8" s="68"/>
      <c r="C8" s="67">
        <v>25</v>
      </c>
      <c r="D8" s="68"/>
      <c r="E8" s="68">
        <f>B8*C8*D8</f>
        <v>0</v>
      </c>
    </row>
    <row r="9" spans="1:5" ht="43" customHeight="1">
      <c r="A9" s="66" t="s">
        <v>59</v>
      </c>
      <c r="B9" s="68"/>
      <c r="C9" s="67">
        <v>50</v>
      </c>
      <c r="D9" s="68"/>
      <c r="E9" s="68">
        <f>B9*C9*D9</f>
        <v>0</v>
      </c>
    </row>
    <row r="10" spans="1:5" ht="52" customHeight="1">
      <c r="A10" s="66" t="s">
        <v>60</v>
      </c>
      <c r="B10" s="68"/>
      <c r="C10" s="67">
        <v>100</v>
      </c>
      <c r="D10" s="68"/>
      <c r="E10" s="68">
        <f t="shared" ref="E10:E11" si="0">B10*C10*D10</f>
        <v>0</v>
      </c>
    </row>
    <row r="11" spans="1:5" ht="59" customHeight="1">
      <c r="A11" s="66" t="s">
        <v>61</v>
      </c>
      <c r="B11" s="68"/>
      <c r="C11" s="67">
        <v>150</v>
      </c>
      <c r="D11" s="68"/>
      <c r="E11" s="68">
        <f t="shared" si="0"/>
        <v>0</v>
      </c>
    </row>
    <row r="12" spans="1:5" ht="19">
      <c r="A12" s="123"/>
      <c r="B12" s="124"/>
      <c r="C12" s="124"/>
      <c r="D12" s="124"/>
      <c r="E12" s="125"/>
    </row>
    <row r="13" spans="1:5" ht="70" customHeight="1">
      <c r="A13" s="126" t="s">
        <v>62</v>
      </c>
      <c r="B13" s="127"/>
      <c r="C13" s="127"/>
      <c r="D13" s="128"/>
      <c r="E13" s="70">
        <f>SUM(E8:E11)</f>
        <v>0</v>
      </c>
    </row>
    <row r="14" spans="1:5" ht="58" customHeight="1">
      <c r="A14" s="129" t="s">
        <v>63</v>
      </c>
      <c r="B14" s="130"/>
      <c r="C14" s="130"/>
      <c r="D14" s="131"/>
      <c r="E14" s="70">
        <v>0</v>
      </c>
    </row>
    <row r="15" spans="1:5" ht="29" customHeight="1">
      <c r="A15" s="132" t="s">
        <v>64</v>
      </c>
      <c r="B15" s="133"/>
      <c r="C15" s="133"/>
      <c r="D15" s="134"/>
      <c r="E15" s="71">
        <f>E13-E14</f>
        <v>0</v>
      </c>
    </row>
  </sheetData>
  <mergeCells count="5">
    <mergeCell ref="A2:B2"/>
    <mergeCell ref="A12:E12"/>
    <mergeCell ref="A13:D13"/>
    <mergeCell ref="A14:D14"/>
    <mergeCell ref="A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978D-2C69-254A-83E8-8085324EF4F6}">
  <dimension ref="A1:B7"/>
  <sheetViews>
    <sheetView workbookViewId="0">
      <selection activeCell="F32" sqref="F32"/>
    </sheetView>
  </sheetViews>
  <sheetFormatPr baseColWidth="10" defaultColWidth="11.5" defaultRowHeight="15"/>
  <sheetData>
    <row r="1" spans="1:2">
      <c r="A1" t="s">
        <v>65</v>
      </c>
      <c r="B1" t="s">
        <v>66</v>
      </c>
    </row>
    <row r="2" spans="1:2">
      <c r="A2">
        <v>0</v>
      </c>
      <c r="B2" t="s">
        <v>66</v>
      </c>
    </row>
    <row r="3" spans="1:2">
      <c r="A3">
        <v>1</v>
      </c>
      <c r="B3">
        <v>0</v>
      </c>
    </row>
    <row r="4" spans="1:2">
      <c r="A4">
        <v>2</v>
      </c>
      <c r="B4">
        <v>1</v>
      </c>
    </row>
    <row r="5" spans="1:2">
      <c r="A5">
        <v>3</v>
      </c>
      <c r="B5">
        <v>2</v>
      </c>
    </row>
    <row r="6" spans="1:2">
      <c r="A6">
        <v>4</v>
      </c>
      <c r="B6">
        <v>3</v>
      </c>
    </row>
    <row r="7" spans="1:2">
      <c r="A7">
        <v>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12F8011459844868563B07F7C6FEB" ma:contentTypeVersion="9" ma:contentTypeDescription="Create a new document." ma:contentTypeScope="" ma:versionID="86c835c1a496982940621eda5085ccac">
  <xsd:schema xmlns:xsd="http://www.w3.org/2001/XMLSchema" xmlns:xs="http://www.w3.org/2001/XMLSchema" xmlns:p="http://schemas.microsoft.com/office/2006/metadata/properties" xmlns:ns2="963afe89-da76-4768-b0b7-55b8112e94f8" xmlns:ns3="9747c69f-0d9f-4179-9aea-f8db06b18253" targetNamespace="http://schemas.microsoft.com/office/2006/metadata/properties" ma:root="true" ma:fieldsID="9db225b03b10a34a143de72211d011a1" ns2:_="" ns3:_="">
    <xsd:import namespace="963afe89-da76-4768-b0b7-55b8112e94f8"/>
    <xsd:import namespace="9747c69f-0d9f-4179-9aea-f8db06b18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afe89-da76-4768-b0b7-55b8112e9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7025386-906e-4470-b37b-a17eb36fa2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7c69f-0d9f-4179-9aea-f8db06b1825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f6f26f-78cd-4f6d-9a97-c93377657438}" ma:internalName="TaxCatchAll" ma:showField="CatchAllData" ma:web="9747c69f-0d9f-4179-9aea-f8db06b182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47c69f-0d9f-4179-9aea-f8db06b18253" xsi:nil="true"/>
    <lcf76f155ced4ddcb4097134ff3c332f xmlns="963afe89-da76-4768-b0b7-55b8112e94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6B351-10D2-44FF-8891-1F2CB971E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24E4D-F39C-4BA3-9970-1B77D9DC74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afe89-da76-4768-b0b7-55b8112e94f8"/>
    <ds:schemaRef ds:uri="9747c69f-0d9f-4179-9aea-f8db06b18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E445FB-EAE7-4A17-B095-6F6AB3052101}">
  <ds:schemaRefs>
    <ds:schemaRef ds:uri="http://purl.org/dc/terms/"/>
    <ds:schemaRef ds:uri="http://purl.org/dc/elements/1.1/"/>
    <ds:schemaRef ds:uri="9747c69f-0d9f-4179-9aea-f8db06b18253"/>
    <ds:schemaRef ds:uri="http://purl.org/dc/dcmitype/"/>
    <ds:schemaRef ds:uri="http://schemas.microsoft.com/office/2006/documentManagement/types"/>
    <ds:schemaRef ds:uri="963afe89-da76-4768-b0b7-55b8112e94f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stream 1 Conf.&amp;Research Travel </vt:lpstr>
      <vt:lpstr>stream 2 Publicatio&amp;Open access</vt:lpstr>
      <vt:lpstr>Stream 3 Sci. Events SUAD</vt:lpstr>
      <vt:lpstr>Stream 4 Operational purchases</vt:lpstr>
      <vt:lpstr>Research Support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Beatriz Garcia</cp:lastModifiedBy>
  <cp:revision/>
  <dcterms:created xsi:type="dcterms:W3CDTF">2023-11-09T10:56:40Z</dcterms:created>
  <dcterms:modified xsi:type="dcterms:W3CDTF">2025-09-22T13:23:31Z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0x0101005B312F8011459844868563B07F7C6FEB</vt:lpwstr>
  </property>
  <property fmtid="{D5CDD505-2E9C-101B-9397-08002B2CF9AE}" pid="3" name="MediaServiceImageTags">
    <vt:lpwstr/>
  </property>
</Properties>
</file>